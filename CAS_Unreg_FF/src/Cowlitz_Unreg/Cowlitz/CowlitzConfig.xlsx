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ing\Cowlitz\"/>
    </mc:Choice>
  </mc:AlternateContent>
  <xr:revisionPtr revIDLastSave="0" documentId="13_ncr:1_{6D9E7413-4CAB-4AA4-89DD-6B27A39E5347}" xr6:coauthVersionLast="47" xr6:coauthVersionMax="47" xr10:uidLastSave="{00000000-0000-0000-0000-000000000000}"/>
  <bookViews>
    <workbookView xWindow="5370" yWindow="1950" windowWidth="21600" windowHeight="11280" activeTab="1" xr2:uid="{00000000-000D-0000-FFFF-FFFF00000000}"/>
  </bookViews>
  <sheets>
    <sheet name="ElevStor" sheetId="2" r:id="rId1"/>
    <sheet name="RegUnregEvents" sheetId="1" r:id="rId2"/>
  </sheets>
  <definedNames>
    <definedName name="_xlnm._FilterDatabase" localSheetId="1" hidden="1">RegUnregEvents!$A$4:$G$4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5" i="1"/>
  <c r="B5" i="1" s="1"/>
  <c r="E6" i="1"/>
  <c r="C6" i="1"/>
  <c r="B6" i="1" s="1"/>
</calcChain>
</file>

<file path=xl/sharedStrings.xml><?xml version="1.0" encoding="utf-8"?>
<sst xmlns="http://schemas.openxmlformats.org/spreadsheetml/2006/main" count="12" uniqueCount="12">
  <si>
    <t>EventName</t>
  </si>
  <si>
    <t>OrderID</t>
  </si>
  <si>
    <t>StartDate</t>
  </si>
  <si>
    <t>EndDate</t>
  </si>
  <si>
    <t>PlotGroup</t>
  </si>
  <si>
    <t>PeakDate</t>
  </si>
  <si>
    <t>Note</t>
  </si>
  <si>
    <t>Stor</t>
  </si>
  <si>
    <t>Elev</t>
  </si>
  <si>
    <t>Mossyrock elev stor, pulled from CWMS model</t>
  </si>
  <si>
    <t>Sheet lists events with hourly data at Castle Rock and Mossyrock</t>
  </si>
  <si>
    <t>For calculating reg/unreg 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</si>
</sst>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\ \ hh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EF62-3708-4917-8711-5FAF83FED88B}">
  <dimension ref="A1:B41"/>
  <sheetViews>
    <sheetView workbookViewId="0">
      <selection activeCell="A4" sqref="A4:XFD4"/>
    </sheetView>
  </sheetViews>
  <sheetFormatPr defaultRowHeight="15" x14ac:dyDescent="0.25"/>
  <sheetData>
    <row r="1" spans="1:2" x14ac:dyDescent="0.25">
      <c r="A1" t="s">
        <v>9</v>
      </c>
    </row>
    <row r="4" spans="1:2" x14ac:dyDescent="0.25">
      <c r="A4" t="s">
        <v>8</v>
      </c>
      <c r="B4" t="s">
        <v>7</v>
      </c>
    </row>
    <row r="5" spans="1:2" x14ac:dyDescent="0.25">
      <c r="A5">
        <v>420</v>
      </c>
      <c r="B5">
        <v>0</v>
      </c>
    </row>
    <row r="6" spans="1:2" x14ac:dyDescent="0.25">
      <c r="A6">
        <v>450</v>
      </c>
      <c r="B6">
        <v>1</v>
      </c>
    </row>
    <row r="7" spans="1:2" x14ac:dyDescent="0.25">
      <c r="A7">
        <v>460</v>
      </c>
      <c r="B7">
        <v>4000</v>
      </c>
    </row>
    <row r="8" spans="1:2" x14ac:dyDescent="0.25">
      <c r="A8">
        <v>470</v>
      </c>
      <c r="B8">
        <v>7500</v>
      </c>
    </row>
    <row r="9" spans="1:2" x14ac:dyDescent="0.25">
      <c r="A9">
        <v>480</v>
      </c>
      <c r="B9">
        <v>10000</v>
      </c>
    </row>
    <row r="10" spans="1:2" x14ac:dyDescent="0.25">
      <c r="A10">
        <v>490</v>
      </c>
      <c r="B10">
        <v>17000</v>
      </c>
    </row>
    <row r="11" spans="1:2" x14ac:dyDescent="0.25">
      <c r="A11">
        <v>500</v>
      </c>
      <c r="B11">
        <v>26000</v>
      </c>
    </row>
    <row r="12" spans="1:2" x14ac:dyDescent="0.25">
      <c r="A12">
        <v>510</v>
      </c>
      <c r="B12">
        <v>38000</v>
      </c>
    </row>
    <row r="13" spans="1:2" x14ac:dyDescent="0.25">
      <c r="A13">
        <v>520</v>
      </c>
      <c r="B13">
        <v>50000</v>
      </c>
    </row>
    <row r="14" spans="1:2" x14ac:dyDescent="0.25">
      <c r="A14">
        <v>530</v>
      </c>
      <c r="B14">
        <v>70000</v>
      </c>
    </row>
    <row r="15" spans="1:2" x14ac:dyDescent="0.25">
      <c r="A15">
        <v>540</v>
      </c>
      <c r="B15">
        <v>90000</v>
      </c>
    </row>
    <row r="16" spans="1:2" x14ac:dyDescent="0.25">
      <c r="A16">
        <v>550</v>
      </c>
      <c r="B16">
        <v>115000</v>
      </c>
    </row>
    <row r="17" spans="1:2" x14ac:dyDescent="0.25">
      <c r="A17">
        <v>560</v>
      </c>
      <c r="B17">
        <v>145000</v>
      </c>
    </row>
    <row r="18" spans="1:2" x14ac:dyDescent="0.25">
      <c r="A18">
        <v>570</v>
      </c>
      <c r="B18">
        <v>175000</v>
      </c>
    </row>
    <row r="19" spans="1:2" x14ac:dyDescent="0.25">
      <c r="A19">
        <v>580</v>
      </c>
      <c r="B19">
        <v>210000</v>
      </c>
    </row>
    <row r="20" spans="1:2" x14ac:dyDescent="0.25">
      <c r="A20">
        <v>590</v>
      </c>
      <c r="B20">
        <v>246000</v>
      </c>
    </row>
    <row r="21" spans="1:2" x14ac:dyDescent="0.25">
      <c r="A21">
        <v>600</v>
      </c>
      <c r="B21">
        <v>289000</v>
      </c>
    </row>
    <row r="22" spans="1:2" x14ac:dyDescent="0.25">
      <c r="A22">
        <v>610</v>
      </c>
      <c r="B22">
        <v>330000</v>
      </c>
    </row>
    <row r="23" spans="1:2" x14ac:dyDescent="0.25">
      <c r="A23">
        <v>620</v>
      </c>
      <c r="B23">
        <v>380000</v>
      </c>
    </row>
    <row r="24" spans="1:2" x14ac:dyDescent="0.25">
      <c r="A24">
        <v>630</v>
      </c>
      <c r="B24">
        <v>430000</v>
      </c>
    </row>
    <row r="25" spans="1:2" x14ac:dyDescent="0.25">
      <c r="A25">
        <v>640</v>
      </c>
      <c r="B25">
        <v>475000</v>
      </c>
    </row>
    <row r="26" spans="1:2" x14ac:dyDescent="0.25">
      <c r="A26">
        <v>650</v>
      </c>
      <c r="B26">
        <v>545000</v>
      </c>
    </row>
    <row r="27" spans="1:2" x14ac:dyDescent="0.25">
      <c r="A27">
        <v>660</v>
      </c>
      <c r="B27">
        <v>610000</v>
      </c>
    </row>
    <row r="28" spans="1:2" x14ac:dyDescent="0.25">
      <c r="A28">
        <v>670</v>
      </c>
      <c r="B28">
        <v>680000</v>
      </c>
    </row>
    <row r="29" spans="1:2" x14ac:dyDescent="0.25">
      <c r="A29">
        <v>680</v>
      </c>
      <c r="B29">
        <v>755000</v>
      </c>
    </row>
    <row r="30" spans="1:2" x14ac:dyDescent="0.25">
      <c r="A30">
        <v>690</v>
      </c>
      <c r="B30">
        <v>830000</v>
      </c>
    </row>
    <row r="31" spans="1:2" x14ac:dyDescent="0.25">
      <c r="A31">
        <v>700</v>
      </c>
      <c r="B31">
        <v>910000</v>
      </c>
    </row>
    <row r="32" spans="1:2" x14ac:dyDescent="0.25">
      <c r="A32">
        <v>710</v>
      </c>
      <c r="B32">
        <v>995000</v>
      </c>
    </row>
    <row r="33" spans="1:2" x14ac:dyDescent="0.25">
      <c r="A33">
        <v>720</v>
      </c>
      <c r="B33">
        <v>1085000</v>
      </c>
    </row>
    <row r="34" spans="1:2" x14ac:dyDescent="0.25">
      <c r="A34">
        <v>730</v>
      </c>
      <c r="B34">
        <v>1180000</v>
      </c>
    </row>
    <row r="35" spans="1:2" x14ac:dyDescent="0.25">
      <c r="A35">
        <v>740</v>
      </c>
      <c r="B35">
        <v>1275000</v>
      </c>
    </row>
    <row r="36" spans="1:2" x14ac:dyDescent="0.25">
      <c r="A36">
        <v>745.5</v>
      </c>
      <c r="B36">
        <v>1326000</v>
      </c>
    </row>
    <row r="37" spans="1:2" x14ac:dyDescent="0.25">
      <c r="A37">
        <v>750</v>
      </c>
      <c r="B37">
        <v>1370000</v>
      </c>
    </row>
    <row r="38" spans="1:2" x14ac:dyDescent="0.25">
      <c r="A38">
        <v>760</v>
      </c>
      <c r="B38">
        <v>1475000</v>
      </c>
    </row>
    <row r="39" spans="1:2" x14ac:dyDescent="0.25">
      <c r="A39">
        <v>770</v>
      </c>
      <c r="B39">
        <v>1585000</v>
      </c>
    </row>
    <row r="40" spans="1:2" x14ac:dyDescent="0.25">
      <c r="A40">
        <v>778.5</v>
      </c>
      <c r="B40">
        <v>1686000</v>
      </c>
    </row>
    <row r="41" spans="1:2" x14ac:dyDescent="0.25">
      <c r="A41">
        <v>785</v>
      </c>
      <c r="B41">
        <v>1762000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5" x14ac:dyDescent="0.25"/>
  <cols>
    <col min="1" max="1" width="10" customWidth="1"/>
    <col min="2" max="2" width="13.5703125" customWidth="1"/>
    <col min="3" max="3" width="17.5703125" customWidth="1"/>
    <col min="4" max="4" width="18.140625" customWidth="1"/>
    <col min="5" max="5" width="15.5703125" bestFit="1" customWidth="1"/>
  </cols>
  <sheetData>
    <row r="1" spans="1:7" x14ac:dyDescent="0.25">
      <c r="A1" t="s">
        <v>10</v>
      </c>
    </row>
    <row r="2" spans="1:7" x14ac:dyDescent="0.25">
      <c r="A2" t="s">
        <v>11</v>
      </c>
    </row>
    <row r="4" spans="1:7" x14ac:dyDescent="0.25">
      <c r="A4" t="s">
        <v>1</v>
      </c>
      <c r="B4" t="s">
        <v>0</v>
      </c>
      <c r="C4" t="s">
        <v>2</v>
      </c>
      <c r="D4" t="s">
        <v>5</v>
      </c>
      <c r="E4" t="s">
        <v>3</v>
      </c>
      <c r="F4" t="s">
        <v>4</v>
      </c>
      <c r="G4" t="s">
        <v>6</v>
      </c>
    </row>
    <row r="5" spans="1:7" x14ac:dyDescent="0.25">
      <c r="A5">
        <v>1</v>
      </c>
      <c r="B5" t="str">
        <f>YEAR(C5)&amp;"-"&amp;MONTH(C5)</f>
        <v>2025-12</v>
      </c>
      <c r="C5" s="1">
        <f>D5-5</f>
        <v>45995.166666666664</v>
      </c>
      <c r="D5" s="1">
        <v>46000.166666666664</v>
      </c>
      <c r="E5" s="1">
        <f>D5+5</f>
        <v>46005.166666666664</v>
      </c>
      <c r="F5">
        <v>1</v>
      </c>
    </row>
    <row r="6" spans="1:7" x14ac:dyDescent="0.25">
      <c r="A6">
        <v>2</v>
      </c>
      <c r="B6" t="str">
        <f>YEAR(C6)&amp;"-"&amp;MONTH(C6)</f>
        <v>2022-1</v>
      </c>
      <c r="C6" s="1">
        <f>D6-2</f>
        <v>44566.666666666664</v>
      </c>
      <c r="D6" s="1">
        <v>44568.666666666664</v>
      </c>
      <c r="E6" s="1">
        <f>D6+2</f>
        <v>44570.666666666664</v>
      </c>
      <c r="F6">
        <v>1</v>
      </c>
    </row>
    <row r="7" spans="1:7" x14ac:dyDescent="0.25">
      <c r="D7" s="1"/>
    </row>
    <row r="8" spans="1:7" x14ac:dyDescent="0.25">
      <c r="D8" s="1"/>
    </row>
    <row r="9" spans="1:7" x14ac:dyDescent="0.25">
      <c r="D9" s="1"/>
    </row>
    <row r="10" spans="1:7" x14ac:dyDescent="0.25">
      <c r="D10" s="1"/>
    </row>
  </sheetData>
  <autoFilter ref="A4:G4" xr:uid="{00000000-0001-0000-0000-000000000000}">
    <sortState xmlns:xlrd2="http://schemas.microsoft.com/office/spreadsheetml/2017/richdata2" ref="A5:G22">
      <sortCondition ref="A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ElevStor</vt:lpstr>
      <vt:lpstr>RegUnregEvents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Cahill, Ryan J CIV USARMY CENWP (USA)</dc:creator>
  <cp:lastModifiedBy>Cahill, Ryan J CIV USARMY CENWP (USA)</cp:lastModifiedBy>
  <dcterms:created xsi:type="dcterms:W3CDTF">2015-06-05T18:17:20Z</dcterms:created>
  <dcterms:modified xsi:type="dcterms:W3CDTF">2026-07-15T20:29:38Z</dcterms:modified>
</cp:coreProperties>
</file>